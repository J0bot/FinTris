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grammation Orienté Objet\P_DEV\Modèle journal travail\"/>
    </mc:Choice>
  </mc:AlternateContent>
  <bookViews>
    <workbookView xWindow="0" yWindow="0" windowWidth="28800" windowHeight="11700" activeTab="1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0" l="1"/>
  <c r="C11" i="10"/>
  <c r="C10" i="10"/>
  <c r="C9" i="10"/>
  <c r="C8" i="10"/>
  <c r="C7" i="10"/>
  <c r="C6" i="10"/>
  <c r="C5" i="10"/>
  <c r="C4" i="10"/>
  <c r="B24" i="10"/>
  <c r="C23" i="10"/>
  <c r="C22" i="10"/>
  <c r="C21" i="10"/>
  <c r="C20" i="10"/>
  <c r="C19" i="10"/>
  <c r="C18" i="10"/>
  <c r="C17" i="10"/>
  <c r="C16" i="10"/>
  <c r="B36" i="10"/>
  <c r="C35" i="10"/>
  <c r="C34" i="10"/>
  <c r="C33" i="10"/>
  <c r="C32" i="10"/>
  <c r="C31" i="10"/>
  <c r="C30" i="10"/>
  <c r="C29" i="10"/>
  <c r="C28" i="10"/>
  <c r="B12" i="12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48" i="10"/>
  <c r="C47" i="10"/>
  <c r="C46" i="10"/>
  <c r="C45" i="10"/>
  <c r="C44" i="10"/>
  <c r="C43" i="10"/>
  <c r="C42" i="10"/>
  <c r="C41" i="10"/>
  <c r="C40" i="10"/>
  <c r="C12" i="10"/>
  <c r="C24" i="10"/>
  <c r="C36" i="10"/>
  <c r="C12" i="12"/>
  <c r="C24" i="12"/>
  <c r="C36" i="12"/>
  <c r="C48" i="12"/>
  <c r="C48" i="10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2" i="1"/>
  <c r="D92" i="1"/>
  <c r="D82" i="1"/>
  <c r="D73" i="1"/>
  <c r="D87" i="1"/>
  <c r="D30" i="1"/>
  <c r="D21" i="1"/>
  <c r="D90" i="1"/>
  <c r="D81" i="1"/>
  <c r="D20" i="1"/>
  <c r="D45" i="1"/>
  <c r="D62" i="1"/>
  <c r="D55" i="1"/>
  <c r="D46" i="1"/>
  <c r="D24" i="1"/>
  <c r="D76" i="1"/>
  <c r="D66" i="1"/>
  <c r="D57" i="1"/>
  <c r="D59" i="1"/>
  <c r="D52" i="1"/>
  <c r="D84" i="1"/>
  <c r="D74" i="1"/>
  <c r="D65" i="1"/>
  <c r="D71" i="1"/>
  <c r="D70" i="1"/>
  <c r="D69" i="1"/>
  <c r="D29" i="1"/>
  <c r="D37" i="1"/>
  <c r="C11" i="15"/>
  <c r="D63" i="1"/>
  <c r="D60" i="1"/>
  <c r="D50" i="1"/>
  <c r="D41" i="1"/>
  <c r="D39" i="1"/>
  <c r="D83" i="1"/>
  <c r="D68" i="1"/>
  <c r="D58" i="1"/>
  <c r="D49" i="1"/>
  <c r="D51" i="1"/>
  <c r="D43" i="1"/>
  <c r="D56" i="1"/>
  <c r="D75" i="1"/>
  <c r="D27" i="1"/>
  <c r="C11" i="16"/>
  <c r="D93" i="1"/>
  <c r="D36" i="1"/>
  <c r="D34" i="1"/>
  <c r="D25" i="1"/>
  <c r="D15" i="1"/>
  <c r="D35" i="1"/>
  <c r="D48" i="1"/>
  <c r="D42" i="1"/>
  <c r="D33" i="1"/>
  <c r="D23" i="1"/>
  <c r="D17" i="1"/>
  <c r="D67" i="1"/>
  <c r="D72" i="1"/>
  <c r="D79" i="1"/>
  <c r="D80" i="1"/>
  <c r="D54" i="1"/>
  <c r="D47" i="1"/>
  <c r="D53" i="1"/>
  <c r="D64" i="1"/>
  <c r="D38" i="1"/>
  <c r="D89" i="1"/>
  <c r="D32" i="1"/>
  <c r="D44" i="1"/>
  <c r="D86" i="1"/>
  <c r="D77" i="1"/>
  <c r="D16" i="1"/>
  <c r="D18" i="1"/>
  <c r="D88" i="1"/>
  <c r="D94" i="1"/>
  <c r="D85" i="1"/>
  <c r="D28" i="1"/>
  <c r="D26" i="1"/>
  <c r="D61" i="1"/>
  <c r="D91" i="1"/>
  <c r="D78" i="1"/>
  <c r="D40" i="1"/>
  <c r="D19" i="1"/>
  <c r="D31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<sst xmlns="http://schemas.openxmlformats.org/spreadsheetml/2006/main" count="225" uniqueCount="50">
  <si>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</si>
  <si>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</si>
  <si>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</si>
  <si>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</si>
  <si>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</si>
  <si>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</si>
  <si>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</si>
  <si>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</si>
  <si>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</si>
  <si>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</si>
  <si>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</si>
  <si>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</si>
  <si>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</si>
  <si>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Liste des enseignants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</si>
  <si>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</si>
  <si>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</si>
  <si>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</si>
  <si>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</si>
  <si>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</si>
  <si>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</si>
  <si>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</si>
  <si>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</si>
  <si>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</si>
  <si>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</si>
  <si>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</si>
  <si>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</si>
  <si>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</si>
  <si>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</si>
  <si>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</si>
  <si>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</si>
  <si>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</si>
  <si>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</si>
  <si>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</si>
  <si>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</si>
  <si>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</si>
  <si>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</si>
  <si>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</si>
  <si>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</si>
  <si>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</si>
  <si>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</si>
  <si>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</si>
  <si>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</si>
  <si>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</si>
  <si>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</si>
  <si>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</si>
  <si>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</si>
  <si>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</si>
  <si>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</si>
  <si>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Du 29.01.2021au 07.05.2021</t>
  </si>
  <si>
    <t>032 - P_DEV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</si>
</sst>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4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topLeftCell="A16"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36</v>
      </c>
      <c r="C35" s="166"/>
      <c r="D35" s="166"/>
      <c r="E35" s="107" t="s">
        <v>45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37</v>
      </c>
      <c r="C37" s="167"/>
      <c r="D37" s="167"/>
      <c r="E37" s="109" t="s">
        <v>45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32</v>
      </c>
      <c r="E39" s="140" t="s">
        <v>45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abSelected="1" zoomScale="70" zoomScaleNormal="70" zoomScaleSheetLayoutView="43" workbookViewId="0">
      <selection activeCell="AB5" sqref="AB5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68" t="s">
        <v>33</v>
      </c>
      <c r="D1" s="168"/>
      <c r="E1" s="16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49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13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69"/>
      <c r="D7" s="169"/>
      <c r="E7" s="16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48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20</v>
      </c>
      <c r="D9" s="142"/>
      <c r="E9" s="13" t="s">
        <v>24</v>
      </c>
      <c r="F9" s="14"/>
      <c r="G9" s="173" t="str">
        <f>E96</f>
        <v>0h</v>
      </c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19"/>
      <c r="W9" s="182" t="s">
        <v>25</v>
      </c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73" t="str">
        <f>E98</f>
        <v>0h</v>
      </c>
      <c r="AI9" s="173"/>
      <c r="AJ9" s="173"/>
      <c r="AK9" s="173"/>
      <c r="AL9" s="173"/>
      <c r="AM9" s="173"/>
      <c r="AN9" s="173"/>
      <c r="AO9" s="173"/>
      <c r="AP9" s="173"/>
      <c r="AQ9" s="173"/>
      <c r="AR9" s="173"/>
      <c r="AS9" s="173"/>
      <c r="AT9" s="173"/>
      <c r="AU9" s="173"/>
      <c r="AV9" s="173"/>
      <c r="AW9" s="173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4"/>
      <c r="BO10" s="184"/>
      <c r="BP10" s="184"/>
      <c r="BQ10" s="184"/>
      <c r="BR10" s="184"/>
      <c r="BS10" s="184"/>
      <c r="BT10" s="184"/>
      <c r="BU10" s="184"/>
      <c r="BV10" s="184"/>
      <c r="BW10" s="184"/>
      <c r="BX10" s="184"/>
      <c r="BY10" s="184"/>
      <c r="BZ10" s="184"/>
      <c r="CA10" s="184"/>
      <c r="CB10" s="184"/>
      <c r="CC10" s="184"/>
      <c r="CD10" s="184"/>
      <c r="CE10" s="184"/>
      <c r="CF10" s="184"/>
      <c r="CG10" s="184"/>
      <c r="CH10" s="184"/>
      <c r="CI10" s="184"/>
      <c r="CJ10" s="184"/>
      <c r="CK10" s="184"/>
      <c r="CL10" s="184"/>
      <c r="CM10" s="184"/>
      <c r="CN10" s="184"/>
      <c r="CO10" s="184"/>
      <c r="CP10" s="184"/>
      <c r="CQ10" s="92"/>
      <c r="CR10" s="183"/>
      <c r="CS10" s="183"/>
      <c r="CT10" s="183"/>
      <c r="CU10" s="183"/>
      <c r="CV10" s="183"/>
      <c r="CW10" s="183"/>
      <c r="CX10" s="183"/>
      <c r="CY10" s="183"/>
      <c r="CZ10" s="183"/>
      <c r="DA10" s="183"/>
      <c r="DB10" s="183"/>
      <c r="DC10" s="183"/>
      <c r="DD10" s="183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3"/>
      <c r="DZ10" s="183"/>
      <c r="EA10" s="183"/>
      <c r="EB10" s="183"/>
      <c r="EC10" s="183"/>
      <c r="ED10" s="183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3"/>
      <c r="EZ10" s="183"/>
      <c r="FA10" s="183"/>
      <c r="FB10" s="183"/>
      <c r="FC10" s="183"/>
      <c r="FD10" s="183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3"/>
      <c r="FZ10" s="183"/>
      <c r="GA10" s="183"/>
      <c r="GB10" s="183"/>
      <c r="GC10" s="183"/>
      <c r="GD10" s="90"/>
    </row>
    <row r="11" spans="1:186" ht="20.100000000000001" customHeight="1" x14ac:dyDescent="0.25">
      <c r="B11" s="96"/>
      <c r="C11" s="178"/>
      <c r="D11" s="178"/>
      <c r="E11" s="178"/>
      <c r="F11" s="181" t="s">
        <v>46</v>
      </c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 t="s">
        <v>46</v>
      </c>
      <c r="BO11" s="181"/>
      <c r="BP11" s="181"/>
      <c r="BQ11" s="181"/>
      <c r="BR11" s="181"/>
      <c r="BS11" s="181"/>
      <c r="BT11" s="181"/>
      <c r="BU11" s="181"/>
      <c r="BV11" s="181"/>
      <c r="BW11" s="181"/>
      <c r="BX11" s="181"/>
      <c r="BY11" s="181"/>
      <c r="BZ11" s="181"/>
      <c r="CA11" s="181"/>
      <c r="CB11" s="181"/>
      <c r="CC11" s="181"/>
      <c r="CD11" s="181"/>
      <c r="CE11" s="181"/>
      <c r="CF11" s="181"/>
      <c r="CG11" s="181"/>
      <c r="CH11" s="181"/>
      <c r="CI11" s="181"/>
      <c r="CJ11" s="181"/>
      <c r="CK11" s="181"/>
      <c r="CL11" s="181"/>
      <c r="CM11" s="181"/>
      <c r="CN11" s="181"/>
      <c r="CO11" s="181"/>
      <c r="CP11" s="181"/>
      <c r="CQ11" s="181"/>
      <c r="CR11" s="181"/>
      <c r="CS11" s="181"/>
      <c r="CT11" s="181"/>
      <c r="CU11" s="181"/>
      <c r="CV11" s="181"/>
      <c r="CW11" s="181"/>
      <c r="CX11" s="181"/>
      <c r="CY11" s="181"/>
      <c r="CZ11" s="181"/>
      <c r="DA11" s="181"/>
      <c r="DB11" s="181"/>
      <c r="DC11" s="181"/>
      <c r="DD11" s="181"/>
      <c r="DE11" s="181"/>
      <c r="DF11" s="181"/>
      <c r="DG11" s="181"/>
      <c r="DH11" s="181"/>
      <c r="DI11" s="181"/>
      <c r="DJ11" s="181"/>
      <c r="DK11" s="181"/>
      <c r="DL11" s="181"/>
      <c r="DM11" s="181"/>
      <c r="DN11" s="181"/>
      <c r="DO11" s="181"/>
      <c r="DP11" s="181"/>
      <c r="DQ11" s="181"/>
      <c r="DR11" s="181"/>
      <c r="DS11" s="181"/>
      <c r="DT11" s="181"/>
      <c r="DU11" s="181"/>
      <c r="DV11" s="185" t="s">
        <v>46</v>
      </c>
      <c r="DW11" s="185"/>
      <c r="DX11" s="185"/>
      <c r="DY11" s="185"/>
      <c r="DZ11" s="185"/>
      <c r="EA11" s="185"/>
      <c r="EB11" s="185"/>
      <c r="EC11" s="185"/>
      <c r="ED11" s="185"/>
      <c r="EE11" s="185"/>
      <c r="EF11" s="185"/>
      <c r="EG11" s="185"/>
      <c r="EH11" s="185"/>
      <c r="EI11" s="185"/>
      <c r="EJ11" s="185"/>
      <c r="EK11" s="185"/>
      <c r="EL11" s="185"/>
      <c r="EM11" s="185"/>
      <c r="EN11" s="185"/>
      <c r="EO11" s="185"/>
      <c r="EP11" s="185"/>
      <c r="EQ11" s="185"/>
      <c r="ER11" s="185"/>
      <c r="ES11" s="185"/>
      <c r="ET11" s="185"/>
      <c r="EU11" s="185"/>
      <c r="EV11" s="185"/>
      <c r="EW11" s="185"/>
      <c r="EX11" s="185"/>
      <c r="EY11" s="185"/>
      <c r="EZ11" s="185"/>
      <c r="FA11" s="185"/>
      <c r="FB11" s="185"/>
      <c r="FC11" s="185"/>
      <c r="FD11" s="185"/>
      <c r="FE11" s="185"/>
      <c r="FF11" s="185"/>
      <c r="FG11" s="185"/>
      <c r="FH11" s="185"/>
      <c r="FI11" s="185"/>
      <c r="FJ11" s="185"/>
      <c r="FK11" s="185"/>
      <c r="FL11" s="185"/>
      <c r="FM11" s="185"/>
      <c r="FN11" s="185"/>
      <c r="FO11" s="185"/>
      <c r="FP11" s="185"/>
      <c r="FQ11" s="185"/>
      <c r="FR11" s="185"/>
      <c r="FS11" s="185"/>
      <c r="FT11" s="185"/>
      <c r="FU11" s="185"/>
      <c r="FV11" s="185"/>
      <c r="FW11" s="185"/>
      <c r="FX11" s="185"/>
      <c r="FY11" s="185"/>
      <c r="FZ11" s="185"/>
      <c r="GA11" s="185"/>
      <c r="GB11" s="185"/>
      <c r="GC11" s="185"/>
      <c r="GD11" s="90"/>
    </row>
    <row r="12" spans="1:186" ht="15.75" customHeight="1" thickBot="1" x14ac:dyDescent="0.3">
      <c r="B12" s="97"/>
      <c r="C12" s="179"/>
      <c r="D12" s="179"/>
      <c r="E12" s="179"/>
      <c r="F12" s="180" t="s">
        <v>47</v>
      </c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180"/>
      <c r="BJ12" s="180"/>
      <c r="BK12" s="180"/>
      <c r="BL12" s="180"/>
      <c r="BM12" s="180"/>
      <c r="BN12" s="180" t="s">
        <v>47</v>
      </c>
      <c r="BO12" s="180"/>
      <c r="BP12" s="180"/>
      <c r="BQ12" s="180"/>
      <c r="BR12" s="180"/>
      <c r="BS12" s="180"/>
      <c r="BT12" s="180"/>
      <c r="BU12" s="180"/>
      <c r="BV12" s="180"/>
      <c r="BW12" s="180"/>
      <c r="BX12" s="180"/>
      <c r="BY12" s="180"/>
      <c r="BZ12" s="180"/>
      <c r="CA12" s="180"/>
      <c r="CB12" s="180"/>
      <c r="CC12" s="180"/>
      <c r="CD12" s="180"/>
      <c r="CE12" s="180"/>
      <c r="CF12" s="180"/>
      <c r="CG12" s="180"/>
      <c r="CH12" s="180"/>
      <c r="CI12" s="180"/>
      <c r="CJ12" s="180"/>
      <c r="CK12" s="180"/>
      <c r="CL12" s="180"/>
      <c r="CM12" s="180"/>
      <c r="CN12" s="180"/>
      <c r="CO12" s="180"/>
      <c r="CP12" s="180"/>
      <c r="CQ12" s="180"/>
      <c r="CR12" s="180"/>
      <c r="CS12" s="180"/>
      <c r="CT12" s="180"/>
      <c r="CU12" s="180"/>
      <c r="CV12" s="180"/>
      <c r="CW12" s="180"/>
      <c r="CX12" s="180"/>
      <c r="CY12" s="180"/>
      <c r="CZ12" s="180"/>
      <c r="DA12" s="180"/>
      <c r="DB12" s="180"/>
      <c r="DC12" s="180"/>
      <c r="DD12" s="180"/>
      <c r="DE12" s="180"/>
      <c r="DF12" s="180"/>
      <c r="DG12" s="180"/>
      <c r="DH12" s="180"/>
      <c r="DI12" s="180"/>
      <c r="DJ12" s="180"/>
      <c r="DK12" s="180"/>
      <c r="DL12" s="180"/>
      <c r="DM12" s="180"/>
      <c r="DN12" s="180"/>
      <c r="DO12" s="180"/>
      <c r="DP12" s="180"/>
      <c r="DQ12" s="180"/>
      <c r="DR12" s="180"/>
      <c r="DS12" s="180"/>
      <c r="DT12" s="180"/>
      <c r="DU12" s="180"/>
      <c r="DV12" s="186" t="s">
        <v>47</v>
      </c>
      <c r="DW12" s="186"/>
      <c r="DX12" s="186"/>
      <c r="DY12" s="186"/>
      <c r="DZ12" s="186"/>
      <c r="EA12" s="186"/>
      <c r="EB12" s="186"/>
      <c r="EC12" s="186"/>
      <c r="ED12" s="186"/>
      <c r="EE12" s="186"/>
      <c r="EF12" s="186"/>
      <c r="EG12" s="186"/>
      <c r="EH12" s="186"/>
      <c r="EI12" s="186"/>
      <c r="EJ12" s="186"/>
      <c r="EK12" s="186"/>
      <c r="EL12" s="186"/>
      <c r="EM12" s="186"/>
      <c r="EN12" s="186"/>
      <c r="EO12" s="186"/>
      <c r="EP12" s="186"/>
      <c r="EQ12" s="186"/>
      <c r="ER12" s="186"/>
      <c r="ES12" s="186"/>
      <c r="ET12" s="186"/>
      <c r="EU12" s="186"/>
      <c r="EV12" s="186"/>
      <c r="EW12" s="186"/>
      <c r="EX12" s="186"/>
      <c r="EY12" s="186"/>
      <c r="EZ12" s="186"/>
      <c r="FA12" s="186"/>
      <c r="FB12" s="186"/>
      <c r="FC12" s="186"/>
      <c r="FD12" s="186"/>
      <c r="FE12" s="186"/>
      <c r="FF12" s="186"/>
      <c r="FG12" s="186"/>
      <c r="FH12" s="186"/>
      <c r="FI12" s="186"/>
      <c r="FJ12" s="186"/>
      <c r="FK12" s="186"/>
      <c r="FL12" s="186"/>
      <c r="FM12" s="186"/>
      <c r="FN12" s="186"/>
      <c r="FO12" s="186"/>
      <c r="FP12" s="186"/>
      <c r="FQ12" s="186"/>
      <c r="FR12" s="186"/>
      <c r="FS12" s="186"/>
      <c r="FT12" s="186"/>
      <c r="FU12" s="186"/>
      <c r="FV12" s="186"/>
      <c r="FW12" s="186"/>
      <c r="FX12" s="186"/>
      <c r="FY12" s="186"/>
      <c r="FZ12" s="186"/>
      <c r="GA12" s="186"/>
      <c r="GB12" s="186"/>
      <c r="GC12" s="186"/>
      <c r="GD12" s="90"/>
    </row>
    <row r="13" spans="1:186" ht="42.75" customHeight="1" thickBot="1" x14ac:dyDescent="0.3">
      <c r="B13" s="96"/>
      <c r="C13" s="174" t="s">
        <v>7</v>
      </c>
      <c r="D13" s="145"/>
      <c r="E13" s="176" t="s">
        <v>43</v>
      </c>
      <c r="F13" s="187" t="s">
        <v>8</v>
      </c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  <c r="BK13" s="188"/>
      <c r="BL13" s="188"/>
      <c r="BM13" s="189"/>
      <c r="BN13" s="187" t="s">
        <v>30</v>
      </c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s="188"/>
      <c r="BZ13" s="188"/>
      <c r="CA13" s="188"/>
      <c r="CB13" s="188"/>
      <c r="CC13" s="188"/>
      <c r="CD13" s="188"/>
      <c r="CE13" s="188"/>
      <c r="CF13" s="188"/>
      <c r="CG13" s="188"/>
      <c r="CH13" s="188"/>
      <c r="CI13" s="188"/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9"/>
      <c r="DV13" s="187" t="s">
        <v>21</v>
      </c>
      <c r="DW13" s="188"/>
      <c r="DX13" s="188"/>
      <c r="DY13" s="188"/>
      <c r="DZ13" s="188"/>
      <c r="EA13" s="188"/>
      <c r="EB13" s="188"/>
      <c r="EC13" s="188"/>
      <c r="ED13" s="188"/>
      <c r="EE13" s="188"/>
      <c r="EF13" s="188"/>
      <c r="EG13" s="188"/>
      <c r="EH13" s="188"/>
      <c r="EI13" s="188"/>
      <c r="EJ13" s="188"/>
      <c r="EK13" s="188"/>
      <c r="EL13" s="188"/>
      <c r="EM13" s="188"/>
      <c r="EN13" s="188"/>
      <c r="EO13" s="188"/>
      <c r="EP13" s="188"/>
      <c r="EQ13" s="188"/>
      <c r="ER13" s="188"/>
      <c r="ES13" s="188"/>
      <c r="ET13" s="188"/>
      <c r="EU13" s="188"/>
      <c r="EV13" s="188"/>
      <c r="EW13" s="188"/>
      <c r="EX13" s="188"/>
      <c r="EY13" s="188"/>
      <c r="EZ13" s="188"/>
      <c r="FA13" s="188"/>
      <c r="FB13" s="188"/>
      <c r="FC13" s="188"/>
      <c r="FD13" s="188"/>
      <c r="FE13" s="188"/>
      <c r="FF13" s="188"/>
      <c r="FG13" s="188"/>
      <c r="FH13" s="188"/>
      <c r="FI13" s="188"/>
      <c r="FJ13" s="188"/>
      <c r="FK13" s="188"/>
      <c r="FL13" s="188"/>
      <c r="FM13" s="188"/>
      <c r="FN13" s="188"/>
      <c r="FO13" s="188"/>
      <c r="FP13" s="188"/>
      <c r="FQ13" s="188"/>
      <c r="FR13" s="188"/>
      <c r="FS13" s="188"/>
      <c r="FT13" s="188"/>
      <c r="FU13" s="188"/>
      <c r="FV13" s="188"/>
      <c r="FW13" s="188"/>
      <c r="FX13" s="188"/>
      <c r="FY13" s="188"/>
      <c r="FZ13" s="188"/>
      <c r="GA13" s="188"/>
      <c r="GB13" s="188"/>
      <c r="GC13" s="189"/>
      <c r="GD13" s="90"/>
    </row>
    <row r="14" spans="1:186" ht="12.75" customHeight="1" thickBot="1" x14ac:dyDescent="0.35">
      <c r="B14" s="96"/>
      <c r="C14" s="175"/>
      <c r="D14" s="146"/>
      <c r="E14" s="177"/>
      <c r="F14" s="103"/>
      <c r="G14" s="104"/>
      <c r="H14" s="104"/>
      <c r="I14" s="104"/>
      <c r="J14" s="190" t="s">
        <v>38</v>
      </c>
      <c r="K14" s="190"/>
      <c r="L14" s="190"/>
      <c r="M14" s="190"/>
      <c r="N14" s="104"/>
      <c r="O14" s="104"/>
      <c r="P14" s="191" t="s">
        <v>26</v>
      </c>
      <c r="Q14" s="191"/>
      <c r="R14" s="191"/>
      <c r="S14" s="191"/>
      <c r="T14" s="129"/>
      <c r="U14" s="129"/>
      <c r="V14" s="190" t="s">
        <v>39</v>
      </c>
      <c r="W14" s="190"/>
      <c r="X14" s="190"/>
      <c r="Y14" s="190"/>
      <c r="Z14" s="104"/>
      <c r="AA14" s="104"/>
      <c r="AB14" s="191" t="s">
        <v>27</v>
      </c>
      <c r="AC14" s="191"/>
      <c r="AD14" s="191"/>
      <c r="AE14" s="191"/>
      <c r="AF14" s="129"/>
      <c r="AG14" s="129"/>
      <c r="AH14" s="190" t="s">
        <v>40</v>
      </c>
      <c r="AI14" s="190"/>
      <c r="AJ14" s="190"/>
      <c r="AK14" s="190"/>
      <c r="AL14" s="104"/>
      <c r="AM14" s="104"/>
      <c r="AN14" s="191" t="s">
        <v>28</v>
      </c>
      <c r="AO14" s="191"/>
      <c r="AP14" s="191"/>
      <c r="AQ14" s="191"/>
      <c r="AR14" s="129"/>
      <c r="AS14" s="129"/>
      <c r="AT14" s="190" t="s">
        <v>41</v>
      </c>
      <c r="AU14" s="190"/>
      <c r="AV14" s="190"/>
      <c r="AW14" s="190"/>
      <c r="AX14" s="104"/>
      <c r="AY14" s="104"/>
      <c r="AZ14" s="191" t="s">
        <v>29</v>
      </c>
      <c r="BA14" s="191"/>
      <c r="BB14" s="191"/>
      <c r="BC14" s="191"/>
      <c r="BD14" s="129"/>
      <c r="BE14" s="129"/>
      <c r="BF14" s="190" t="s">
        <v>42</v>
      </c>
      <c r="BG14" s="190"/>
      <c r="BH14" s="190"/>
      <c r="BI14" s="190"/>
      <c r="BJ14" s="104"/>
      <c r="BK14" s="104"/>
      <c r="BL14" s="104"/>
      <c r="BM14" s="105"/>
      <c r="BN14" s="103"/>
      <c r="BO14" s="104"/>
      <c r="BP14" s="104"/>
      <c r="BQ14" s="104"/>
      <c r="BR14" s="190" t="s">
        <v>38</v>
      </c>
      <c r="BS14" s="190"/>
      <c r="BT14" s="190"/>
      <c r="BU14" s="190"/>
      <c r="BV14" s="104"/>
      <c r="BW14" s="104"/>
      <c r="BX14" s="191" t="s">
        <v>26</v>
      </c>
      <c r="BY14" s="191"/>
      <c r="BZ14" s="191"/>
      <c r="CA14" s="191"/>
      <c r="CB14" s="129"/>
      <c r="CC14" s="129"/>
      <c r="CD14" s="190" t="s">
        <v>39</v>
      </c>
      <c r="CE14" s="190"/>
      <c r="CF14" s="190"/>
      <c r="CG14" s="190"/>
      <c r="CH14" s="104"/>
      <c r="CI14" s="104"/>
      <c r="CJ14" s="191" t="s">
        <v>27</v>
      </c>
      <c r="CK14" s="191"/>
      <c r="CL14" s="191"/>
      <c r="CM14" s="191"/>
      <c r="CN14" s="129"/>
      <c r="CO14" s="129"/>
      <c r="CP14" s="190" t="s">
        <v>40</v>
      </c>
      <c r="CQ14" s="190"/>
      <c r="CR14" s="190"/>
      <c r="CS14" s="190"/>
      <c r="CT14" s="104"/>
      <c r="CU14" s="104"/>
      <c r="CV14" s="191" t="s">
        <v>28</v>
      </c>
      <c r="CW14" s="191"/>
      <c r="CX14" s="191"/>
      <c r="CY14" s="191"/>
      <c r="CZ14" s="129"/>
      <c r="DA14" s="129"/>
      <c r="DB14" s="190" t="s">
        <v>41</v>
      </c>
      <c r="DC14" s="190"/>
      <c r="DD14" s="190"/>
      <c r="DE14" s="190"/>
      <c r="DF14" s="104"/>
      <c r="DG14" s="104"/>
      <c r="DH14" s="191" t="s">
        <v>29</v>
      </c>
      <c r="DI14" s="191"/>
      <c r="DJ14" s="191"/>
      <c r="DK14" s="191"/>
      <c r="DL14" s="129"/>
      <c r="DM14" s="129"/>
      <c r="DN14" s="190" t="s">
        <v>42</v>
      </c>
      <c r="DO14" s="190"/>
      <c r="DP14" s="190"/>
      <c r="DQ14" s="190"/>
      <c r="DR14" s="104"/>
      <c r="DS14" s="104"/>
      <c r="DT14" s="104"/>
      <c r="DU14" s="105"/>
      <c r="DV14" s="103"/>
      <c r="DW14" s="104"/>
      <c r="DX14" s="104"/>
      <c r="DY14" s="104"/>
      <c r="DZ14" s="190" t="s">
        <v>38</v>
      </c>
      <c r="EA14" s="190"/>
      <c r="EB14" s="190"/>
      <c r="EC14" s="190"/>
      <c r="ED14" s="104"/>
      <c r="EE14" s="104"/>
      <c r="EF14" s="191" t="s">
        <v>26</v>
      </c>
      <c r="EG14" s="191"/>
      <c r="EH14" s="191"/>
      <c r="EI14" s="191"/>
      <c r="EJ14" s="129"/>
      <c r="EK14" s="129"/>
      <c r="EL14" s="190" t="s">
        <v>39</v>
      </c>
      <c r="EM14" s="190"/>
      <c r="EN14" s="190"/>
      <c r="EO14" s="190"/>
      <c r="EP14" s="104"/>
      <c r="EQ14" s="104"/>
      <c r="ER14" s="191" t="s">
        <v>27</v>
      </c>
      <c r="ES14" s="191"/>
      <c r="ET14" s="191"/>
      <c r="EU14" s="191"/>
      <c r="EV14" s="129"/>
      <c r="EW14" s="129"/>
      <c r="EX14" s="190" t="s">
        <v>40</v>
      </c>
      <c r="EY14" s="190"/>
      <c r="EZ14" s="190"/>
      <c r="FA14" s="190"/>
      <c r="FB14" s="104"/>
      <c r="FC14" s="104"/>
      <c r="FD14" s="191" t="s">
        <v>28</v>
      </c>
      <c r="FE14" s="191"/>
      <c r="FF14" s="191"/>
      <c r="FG14" s="191"/>
      <c r="FH14" s="129"/>
      <c r="FI14" s="129"/>
      <c r="FJ14" s="190" t="s">
        <v>41</v>
      </c>
      <c r="FK14" s="190"/>
      <c r="FL14" s="190"/>
      <c r="FM14" s="190"/>
      <c r="FN14" s="104"/>
      <c r="FO14" s="104"/>
      <c r="FP14" s="191" t="s">
        <v>29</v>
      </c>
      <c r="FQ14" s="191"/>
      <c r="FR14" s="191"/>
      <c r="FS14" s="191"/>
      <c r="FT14" s="129"/>
      <c r="FU14" s="129"/>
      <c r="FV14" s="190" t="s">
        <v>42</v>
      </c>
      <c r="FW14" s="190"/>
      <c r="FX14" s="190"/>
      <c r="FY14" s="190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22</v>
      </c>
      <c r="B15" s="63" t="str">
        <f>IF(LEN(C15)=0,"",C15)</f>
        <v xml:space="preserve">Absences - imprévus </v>
      </c>
      <c r="C15" s="170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23</v>
      </c>
      <c r="B16" s="63" t="str">
        <f>IF(LEN(C17)=0,"",C17)</f>
        <v>Analyse - Planification initiale</v>
      </c>
      <c r="C16" s="171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22</v>
      </c>
      <c r="B17" s="63" t="str">
        <f>IF(LEN(C19)=0,"",C19)</f>
        <v>Réalisation - Interfaces</v>
      </c>
      <c r="C17" s="170" t="s">
        <v>34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23</v>
      </c>
      <c r="B18" s="63" t="str">
        <f>IF(LEN(C21)=0,"",C21)</f>
        <v>Doc - Journal de travail</v>
      </c>
      <c r="C18" s="171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22</v>
      </c>
      <c r="B19" s="63" t="str">
        <f>IF(LEN(C23)=0,"",C23)</f>
        <v>Doc - Rapport</v>
      </c>
      <c r="C19" s="170" t="s">
        <v>35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23</v>
      </c>
      <c r="B20" s="63" t="str">
        <f>IF(LEN(C25)=0,"",C25)</f>
        <v/>
      </c>
      <c r="C20" s="172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22</v>
      </c>
      <c r="B21" s="63" t="str">
        <f>IF(LEN(C27)=0,"",C27)</f>
        <v/>
      </c>
      <c r="C21" s="170" t="s">
        <v>19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23</v>
      </c>
      <c r="B22" s="63" t="str">
        <f>IF(LEN(C29)=0,"",C29)</f>
        <v/>
      </c>
      <c r="C22" s="172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22</v>
      </c>
      <c r="B23" s="63" t="str">
        <f>IF(LEN(C31)=0,"",C31)</f>
        <v/>
      </c>
      <c r="C23" s="170" t="s">
        <v>18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23</v>
      </c>
      <c r="B24" s="63" t="str">
        <f>IF(LEN(C33)=0,"",C33)</f>
        <v/>
      </c>
      <c r="C24" s="172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22</v>
      </c>
      <c r="B25" s="63" t="str">
        <f>IF(LEN(C35)=0,"",C35)</f>
        <v/>
      </c>
      <c r="C25" s="170"/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23</v>
      </c>
      <c r="B26" s="63" t="str">
        <f>IF(LEN(C37)=0,"",C37)</f>
        <v/>
      </c>
      <c r="C26" s="171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22</v>
      </c>
      <c r="B27" s="63" t="str">
        <f>IF(LEN(C39)=0,"",C39)</f>
        <v/>
      </c>
      <c r="C27" s="170"/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23</v>
      </c>
      <c r="B28" s="63" t="str">
        <f>IF(LEN(C41)=0,"",C41)</f>
        <v/>
      </c>
      <c r="C28" s="171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22</v>
      </c>
      <c r="B29" s="63" t="str">
        <f>IF(LEN(C43)=0,"",C43)</f>
        <v/>
      </c>
      <c r="C29" s="170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23</v>
      </c>
      <c r="B30" s="63" t="str">
        <f>IF(LEN(C45)=0,"",C45)</f>
        <v/>
      </c>
      <c r="C30" s="171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22</v>
      </c>
      <c r="B31" s="63" t="str">
        <f>IF(LEN(C47)=0,"",C47)</f>
        <v/>
      </c>
      <c r="C31" s="170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23</v>
      </c>
      <c r="B32" s="63" t="str">
        <f>IF(LEN(C49)=0,"",C49)</f>
        <v/>
      </c>
      <c r="C32" s="171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22</v>
      </c>
      <c r="B33" s="63" t="str">
        <f>IF(LEN(C51)=0,"",C51)</f>
        <v/>
      </c>
      <c r="C33" s="170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23</v>
      </c>
      <c r="B34" s="63" t="str">
        <f>IF(LEN(C53)=0,"",C53)</f>
        <v/>
      </c>
      <c r="C34" s="171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22</v>
      </c>
      <c r="B35" s="63" t="str">
        <f>IF(LEN(C55)=0,"",C55)</f>
        <v/>
      </c>
      <c r="C35" s="170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23</v>
      </c>
      <c r="B36" s="63" t="str">
        <f>IF(LEN(C57)=0,"",C57)</f>
        <v/>
      </c>
      <c r="C36" s="172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22</v>
      </c>
      <c r="B37" s="63" t="str">
        <f>IF(LEN(C59)=0,"",C59)</f>
        <v/>
      </c>
      <c r="C37" s="170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23</v>
      </c>
      <c r="B38" s="63" t="str">
        <f>IF(LEN(C61)=0,"",C61)</f>
        <v/>
      </c>
      <c r="C38" s="171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22</v>
      </c>
      <c r="B39" s="63" t="str">
        <f>IF(LEN(C63)=0,"",C63)</f>
        <v/>
      </c>
      <c r="C39" s="170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23</v>
      </c>
      <c r="B40" s="63" t="str">
        <f>IF(LEN(C65)=0,"",C65)</f>
        <v/>
      </c>
      <c r="C40" s="172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22</v>
      </c>
      <c r="B41" s="63" t="str">
        <f>IF(LEN(C67)=0,"",C67)</f>
        <v/>
      </c>
      <c r="C41" s="170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23</v>
      </c>
      <c r="B42" s="63" t="str">
        <f>IF(LEN(C69)=0,"",C69)</f>
        <v/>
      </c>
      <c r="C42" s="171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22</v>
      </c>
      <c r="B43" s="63" t="str">
        <f>IF(LEN(C71)=0,"",C71)</f>
        <v/>
      </c>
      <c r="C43" s="170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23</v>
      </c>
      <c r="B44" s="63" t="str">
        <f>IF(LEN(C73)=0,"",C73)</f>
        <v/>
      </c>
      <c r="C44" s="171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22</v>
      </c>
      <c r="B45" s="63" t="str">
        <f>IF(LEN(C75)=0,"",C75)</f>
        <v/>
      </c>
      <c r="C45" s="170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23</v>
      </c>
      <c r="B46" s="63" t="str">
        <f>IF(LEN(C77)=0,"",C77)</f>
        <v/>
      </c>
      <c r="C46" s="172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22</v>
      </c>
      <c r="B47" s="63" t="str">
        <f>IF(LEN(C79)=0,"",C79)</f>
        <v/>
      </c>
      <c r="C47" s="170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23</v>
      </c>
      <c r="B48" s="63" t="str">
        <f>IF(LEN(C81)=0,"",C81)</f>
        <v/>
      </c>
      <c r="C48" s="171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22</v>
      </c>
      <c r="B49" s="63" t="str">
        <f>IF(LEN(C83)=0,"",C83)</f>
        <v/>
      </c>
      <c r="C49" s="170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23</v>
      </c>
      <c r="B50" s="63" t="str">
        <f>IF(LEN(C85)=0,"",C85)</f>
        <v/>
      </c>
      <c r="C50" s="171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22</v>
      </c>
      <c r="B51" s="63" t="str">
        <f>IF(LEN(C87)=0,"",C87)</f>
        <v/>
      </c>
      <c r="C51" s="170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23</v>
      </c>
      <c r="B52" s="63" t="str">
        <f>IF(LEN(C89)=0,"",C89)</f>
        <v/>
      </c>
      <c r="C52" s="172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22</v>
      </c>
      <c r="B53" s="63" t="str">
        <f>IF(LEN(C91)=0,"",C91)</f>
        <v/>
      </c>
      <c r="C53" s="170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23</v>
      </c>
      <c r="B54" s="63" t="str">
        <f>IF(LEN(C93)=0,"",C93)</f>
        <v/>
      </c>
      <c r="C54" s="171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22</v>
      </c>
      <c r="B55" s="63"/>
      <c r="C55" s="170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23</v>
      </c>
      <c r="B56" s="63"/>
      <c r="C56" s="172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22</v>
      </c>
      <c r="B57" s="63"/>
      <c r="C57" s="170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23</v>
      </c>
      <c r="B58" s="63"/>
      <c r="C58" s="171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22</v>
      </c>
      <c r="B59" s="63"/>
      <c r="C59" s="170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23</v>
      </c>
      <c r="B60" s="63"/>
      <c r="C60" s="171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22</v>
      </c>
      <c r="B61" s="63"/>
      <c r="C61" s="170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23</v>
      </c>
      <c r="B62" s="63"/>
      <c r="C62" s="172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22</v>
      </c>
      <c r="B63" s="63"/>
      <c r="C63" s="170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23</v>
      </c>
      <c r="B64" s="63"/>
      <c r="C64" s="171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22</v>
      </c>
      <c r="B65" s="63"/>
      <c r="C65" s="170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23</v>
      </c>
      <c r="B66" s="63"/>
      <c r="C66" s="171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22</v>
      </c>
      <c r="B67" s="63"/>
      <c r="C67" s="170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23</v>
      </c>
      <c r="B68" s="63"/>
      <c r="C68" s="172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22</v>
      </c>
      <c r="B69" s="63"/>
      <c r="C69" s="170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23</v>
      </c>
      <c r="B70" s="63"/>
      <c r="C70" s="171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22</v>
      </c>
      <c r="B71" s="63"/>
      <c r="C71" s="170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23</v>
      </c>
      <c r="B72" s="63"/>
      <c r="C72" s="172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22</v>
      </c>
      <c r="B73" s="63"/>
      <c r="C73" s="170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23</v>
      </c>
      <c r="B74" s="63"/>
      <c r="C74" s="171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22</v>
      </c>
      <c r="B75" s="63"/>
      <c r="C75" s="170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23</v>
      </c>
      <c r="B76" s="63"/>
      <c r="C76" s="171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22</v>
      </c>
      <c r="B77" s="63"/>
      <c r="C77" s="170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23</v>
      </c>
      <c r="B78" s="63"/>
      <c r="C78" s="172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22</v>
      </c>
      <c r="B79" s="63"/>
      <c r="C79" s="170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23</v>
      </c>
      <c r="B80" s="63"/>
      <c r="C80" s="171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22</v>
      </c>
      <c r="B81" s="63"/>
      <c r="C81" s="170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23</v>
      </c>
      <c r="B82" s="63"/>
      <c r="C82" s="171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22</v>
      </c>
      <c r="B83" s="63"/>
      <c r="C83" s="170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23</v>
      </c>
      <c r="B84" s="63"/>
      <c r="C84" s="172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22</v>
      </c>
      <c r="B85" s="63"/>
      <c r="C85" s="170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23</v>
      </c>
      <c r="B86" s="63"/>
      <c r="C86" s="171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22</v>
      </c>
      <c r="B87" s="63"/>
      <c r="C87" s="170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23</v>
      </c>
      <c r="B88" s="63"/>
      <c r="C88" s="172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22</v>
      </c>
      <c r="B89" s="63"/>
      <c r="C89" s="170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23</v>
      </c>
      <c r="B90" s="63"/>
      <c r="C90" s="171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22</v>
      </c>
      <c r="B91" s="63"/>
      <c r="C91" s="170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23</v>
      </c>
      <c r="B92" s="63"/>
      <c r="C92" s="171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22</v>
      </c>
      <c r="B93" s="63"/>
      <c r="C93" s="170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23</v>
      </c>
      <c r="B94" s="63"/>
      <c r="C94" s="172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96" t="s">
        <v>9</v>
      </c>
      <c r="D95" s="197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98"/>
      <c r="D96" s="199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92" t="s">
        <v>10</v>
      </c>
      <c r="D97" s="193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94"/>
      <c r="D98" s="195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53:C54"/>
    <mergeCell ref="C55:C56"/>
    <mergeCell ref="C57:C58"/>
    <mergeCell ref="C59:C60"/>
    <mergeCell ref="C61:C62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49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E14" sqref="E1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14</v>
      </c>
      <c r="B2" s="164">
        <v>4</v>
      </c>
      <c r="C2" s="164"/>
      <c r="D2" s="82" t="s">
        <v>17</v>
      </c>
      <c r="E2" s="94">
        <v>44246</v>
      </c>
      <c r="F2" s="126"/>
      <c r="G2" s="46"/>
    </row>
    <row r="3" spans="1:7" s="47" customFormat="1" ht="30" customHeight="1" thickBot="1" x14ac:dyDescent="0.3">
      <c r="A3" s="80" t="s">
        <v>5</v>
      </c>
      <c r="B3" s="151" t="s">
        <v>44</v>
      </c>
      <c r="C3" s="152"/>
      <c r="D3" s="80" t="s">
        <v>15</v>
      </c>
      <c r="E3" s="206" t="s">
        <v>16</v>
      </c>
      <c r="F3" s="207"/>
      <c r="G3" s="46"/>
    </row>
    <row r="4" spans="1:7" s="52" customFormat="1" x14ac:dyDescent="0.3">
      <c r="A4" s="48"/>
      <c r="B4" s="49"/>
      <c r="C4" s="153" t="str">
        <f xml:space="preserve"> IF(B4="","",setValueToTime(B4))</f>
        <v/>
      </c>
      <c r="D4" s="50"/>
      <c r="E4" s="208"/>
      <c r="F4" s="209"/>
      <c r="G4" s="51"/>
    </row>
    <row r="5" spans="1:7" s="52" customFormat="1" x14ac:dyDescent="0.3">
      <c r="A5" s="53"/>
      <c r="B5" s="54"/>
      <c r="C5" s="154" t="str">
        <f t="shared" ref="C5:C11" si="0" xml:space="preserve"> IF(B5="","",setValueToTime(B5))</f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0"/>
      <c r="F10" s="201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2"/>
      <c r="F11" s="203"/>
      <c r="G11" s="51"/>
    </row>
    <row r="12" spans="1:7" s="52" customFormat="1" ht="15" thickBot="1" x14ac:dyDescent="0.35">
      <c r="A12" s="111" t="s">
        <v>31</v>
      </c>
      <c r="B12" s="84">
        <f>SUM(B4:B11)</f>
        <v>0</v>
      </c>
      <c r="C12" s="111" t="str">
        <f xml:space="preserve"> setValueToTime(B12)</f>
        <v>0h</v>
      </c>
      <c r="D12" s="120"/>
      <c r="E12" s="204"/>
      <c r="F12" s="205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14</v>
      </c>
      <c r="B14" s="164">
        <v>3</v>
      </c>
      <c r="C14" s="164"/>
      <c r="D14" s="82" t="s">
        <v>17</v>
      </c>
      <c r="E14" s="94">
        <v>44239</v>
      </c>
      <c r="F14" s="126"/>
      <c r="G14" s="46"/>
    </row>
    <row r="15" spans="1:7" s="47" customFormat="1" ht="30" customHeight="1" thickBot="1" x14ac:dyDescent="0.3">
      <c r="A15" s="80" t="s">
        <v>5</v>
      </c>
      <c r="B15" s="151" t="s">
        <v>44</v>
      </c>
      <c r="C15" s="152"/>
      <c r="D15" s="80" t="s">
        <v>15</v>
      </c>
      <c r="E15" s="206" t="s">
        <v>16</v>
      </c>
      <c r="F15" s="207"/>
      <c r="G15" s="46"/>
    </row>
    <row r="16" spans="1:7" s="52" customFormat="1" x14ac:dyDescent="0.3">
      <c r="A16" s="48"/>
      <c r="B16" s="49"/>
      <c r="C16" s="153" t="str">
        <f xml:space="preserve"> IF(B16="","",setValueToTime(B16))</f>
        <v/>
      </c>
      <c r="D16" s="50"/>
      <c r="E16" s="208"/>
      <c r="F16" s="209"/>
      <c r="G16" s="51"/>
    </row>
    <row r="17" spans="1:7" s="52" customFormat="1" x14ac:dyDescent="0.3">
      <c r="A17" s="53"/>
      <c r="B17" s="54"/>
      <c r="C17" s="154" t="str">
        <f t="shared" ref="C17:C23" si="1" xml:space="preserve"> IF(B17="","",setValueToTime(B17))</f>
        <v/>
      </c>
      <c r="D17" s="55"/>
      <c r="E17" s="200"/>
      <c r="F17" s="201"/>
      <c r="G17" s="51"/>
    </row>
    <row r="18" spans="1:7" s="52" customFormat="1" x14ac:dyDescent="0.3">
      <c r="A18" s="53"/>
      <c r="B18" s="54"/>
      <c r="C18" s="154" t="str">
        <f t="shared" si="1"/>
        <v/>
      </c>
      <c r="D18" s="55"/>
      <c r="E18" s="200"/>
      <c r="F18" s="201"/>
      <c r="G18" s="51"/>
    </row>
    <row r="19" spans="1:7" s="52" customFormat="1" x14ac:dyDescent="0.3">
      <c r="A19" s="53"/>
      <c r="B19" s="54"/>
      <c r="C19" s="154" t="str">
        <f t="shared" si="1"/>
        <v/>
      </c>
      <c r="D19" s="55"/>
      <c r="E19" s="200"/>
      <c r="F19" s="201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0"/>
      <c r="F20" s="201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0"/>
      <c r="F21" s="201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0"/>
      <c r="F22" s="201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2"/>
      <c r="F23" s="203"/>
      <c r="G23" s="51"/>
    </row>
    <row r="24" spans="1:7" s="52" customFormat="1" ht="15" thickBot="1" x14ac:dyDescent="0.35">
      <c r="A24" s="111" t="s">
        <v>31</v>
      </c>
      <c r="B24" s="84">
        <f>SUM(B16:B23)</f>
        <v>0</v>
      </c>
      <c r="C24" s="111" t="str">
        <f xml:space="preserve"> setValueToTime(B24)</f>
        <v>0h</v>
      </c>
      <c r="D24" s="120"/>
      <c r="E24" s="204"/>
      <c r="F24" s="205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14</v>
      </c>
      <c r="B26" s="164">
        <v>2</v>
      </c>
      <c r="C26" s="164"/>
      <c r="D26" s="82" t="s">
        <v>17</v>
      </c>
      <c r="E26" s="94">
        <v>44232</v>
      </c>
      <c r="F26" s="126"/>
      <c r="G26" s="46"/>
    </row>
    <row r="27" spans="1:7" s="47" customFormat="1" ht="30" customHeight="1" thickBot="1" x14ac:dyDescent="0.3">
      <c r="A27" s="80" t="s">
        <v>5</v>
      </c>
      <c r="B27" s="151" t="s">
        <v>44</v>
      </c>
      <c r="C27" s="152"/>
      <c r="D27" s="80" t="s">
        <v>15</v>
      </c>
      <c r="E27" s="206" t="s">
        <v>16</v>
      </c>
      <c r="F27" s="207"/>
      <c r="G27" s="46"/>
    </row>
    <row r="28" spans="1:7" s="52" customFormat="1" x14ac:dyDescent="0.3">
      <c r="A28" s="48"/>
      <c r="B28" s="49"/>
      <c r="C28" s="153" t="str">
        <f xml:space="preserve"> IF(B28="","",setValueToTime(B28))</f>
        <v/>
      </c>
      <c r="D28" s="50"/>
      <c r="E28" s="208"/>
      <c r="F28" s="209"/>
      <c r="G28" s="51"/>
    </row>
    <row r="29" spans="1:7" s="52" customFormat="1" x14ac:dyDescent="0.3">
      <c r="A29" s="53"/>
      <c r="B29" s="54"/>
      <c r="C29" s="154" t="str">
        <f t="shared" ref="C29:C35" si="2" xml:space="preserve"> IF(B29="","",setValueToTime(B29))</f>
        <v/>
      </c>
      <c r="D29" s="55"/>
      <c r="E29" s="200"/>
      <c r="F29" s="201"/>
      <c r="G29" s="51"/>
    </row>
    <row r="30" spans="1:7" s="52" customFormat="1" x14ac:dyDescent="0.3">
      <c r="A30" s="53"/>
      <c r="B30" s="54"/>
      <c r="C30" s="154" t="str">
        <f t="shared" si="2"/>
        <v/>
      </c>
      <c r="D30" s="55"/>
      <c r="E30" s="200"/>
      <c r="F30" s="201"/>
      <c r="G30" s="51"/>
    </row>
    <row r="31" spans="1:7" s="52" customFormat="1" x14ac:dyDescent="0.3">
      <c r="A31" s="53"/>
      <c r="B31" s="54"/>
      <c r="C31" s="154" t="str">
        <f t="shared" si="2"/>
        <v/>
      </c>
      <c r="D31" s="55"/>
      <c r="E31" s="200"/>
      <c r="F31" s="201"/>
      <c r="G31" s="51"/>
    </row>
    <row r="32" spans="1:7" s="52" customFormat="1" x14ac:dyDescent="0.3">
      <c r="A32" s="54"/>
      <c r="B32" s="54"/>
      <c r="C32" s="155" t="str">
        <f t="shared" si="2"/>
        <v/>
      </c>
      <c r="D32" s="55"/>
      <c r="E32" s="200"/>
      <c r="F32" s="201"/>
      <c r="G32" s="51"/>
    </row>
    <row r="33" spans="1:7" s="52" customFormat="1" x14ac:dyDescent="0.3">
      <c r="A33" s="54"/>
      <c r="B33" s="54"/>
      <c r="C33" s="155" t="str">
        <f t="shared" si="2"/>
        <v/>
      </c>
      <c r="D33" s="55"/>
      <c r="E33" s="200"/>
      <c r="F33" s="201"/>
      <c r="G33" s="51"/>
    </row>
    <row r="34" spans="1:7" s="52" customFormat="1" x14ac:dyDescent="0.3">
      <c r="A34" s="54"/>
      <c r="B34" s="54"/>
      <c r="C34" s="155" t="str">
        <f t="shared" si="2"/>
        <v/>
      </c>
      <c r="D34" s="55"/>
      <c r="E34" s="200"/>
      <c r="F34" s="201"/>
      <c r="G34" s="51"/>
    </row>
    <row r="35" spans="1:7" s="52" customFormat="1" ht="15" thickBot="1" x14ac:dyDescent="0.35">
      <c r="A35" s="56"/>
      <c r="B35" s="56"/>
      <c r="C35" s="156" t="str">
        <f t="shared" si="2"/>
        <v/>
      </c>
      <c r="D35" s="57"/>
      <c r="E35" s="202"/>
      <c r="F35" s="203"/>
      <c r="G35" s="51"/>
    </row>
    <row r="36" spans="1:7" s="52" customFormat="1" ht="15" thickBot="1" x14ac:dyDescent="0.35">
      <c r="A36" s="111" t="s">
        <v>31</v>
      </c>
      <c r="B36" s="84">
        <f>SUM(B28:B35)</f>
        <v>0</v>
      </c>
      <c r="C36" s="111" t="str">
        <f xml:space="preserve"> setValueToTime(B36)</f>
        <v>0h</v>
      </c>
      <c r="D36" s="120"/>
      <c r="E36" s="204"/>
      <c r="F36" s="205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14</v>
      </c>
      <c r="B38" s="164">
        <v>1</v>
      </c>
      <c r="C38" s="164"/>
      <c r="D38" s="82" t="s">
        <v>17</v>
      </c>
      <c r="E38" s="94">
        <v>44225</v>
      </c>
      <c r="F38" s="126"/>
      <c r="G38" s="46"/>
    </row>
    <row r="39" spans="1:7" s="47" customFormat="1" ht="30" customHeight="1" thickBot="1" x14ac:dyDescent="0.3">
      <c r="A39" s="80" t="s">
        <v>5</v>
      </c>
      <c r="B39" s="151" t="s">
        <v>44</v>
      </c>
      <c r="C39" s="152"/>
      <c r="D39" s="80" t="s">
        <v>15</v>
      </c>
      <c r="E39" s="206" t="s">
        <v>16</v>
      </c>
      <c r="F39" s="207"/>
      <c r="G39" s="46"/>
    </row>
    <row r="40" spans="1:7" s="52" customFormat="1" x14ac:dyDescent="0.3">
      <c r="A40" s="48"/>
      <c r="B40" s="49"/>
      <c r="C40" s="153" t="str">
        <f xml:space="preserve"> IF(B40="","",setValueToTime(B40))</f>
        <v/>
      </c>
      <c r="D40" s="50"/>
      <c r="E40" s="208"/>
      <c r="F40" s="209"/>
      <c r="G40" s="51"/>
    </row>
    <row r="41" spans="1:7" s="52" customFormat="1" x14ac:dyDescent="0.3">
      <c r="A41" s="53"/>
      <c r="B41" s="54"/>
      <c r="C41" s="154" t="str">
        <f t="shared" ref="C41:C47" si="3" xml:space="preserve"> IF(B41="","",setValueToTime(B41))</f>
        <v/>
      </c>
      <c r="D41" s="55"/>
      <c r="E41" s="200"/>
      <c r="F41" s="201"/>
      <c r="G41" s="51"/>
    </row>
    <row r="42" spans="1:7" s="52" customFormat="1" x14ac:dyDescent="0.3">
      <c r="A42" s="53"/>
      <c r="B42" s="54"/>
      <c r="C42" s="154" t="str">
        <f t="shared" si="3"/>
        <v/>
      </c>
      <c r="D42" s="55"/>
      <c r="E42" s="200"/>
      <c r="F42" s="201"/>
      <c r="G42" s="51"/>
    </row>
    <row r="43" spans="1:7" s="52" customFormat="1" x14ac:dyDescent="0.3">
      <c r="A43" s="53"/>
      <c r="B43" s="54"/>
      <c r="C43" s="154" t="str">
        <f t="shared" si="3"/>
        <v/>
      </c>
      <c r="D43" s="55"/>
      <c r="E43" s="200"/>
      <c r="F43" s="201"/>
      <c r="G43" s="51"/>
    </row>
    <row r="44" spans="1:7" s="52" customFormat="1" x14ac:dyDescent="0.3">
      <c r="A44" s="54"/>
      <c r="B44" s="54"/>
      <c r="C44" s="155" t="str">
        <f t="shared" si="3"/>
        <v/>
      </c>
      <c r="D44" s="55"/>
      <c r="E44" s="200"/>
      <c r="F44" s="201"/>
      <c r="G44" s="51"/>
    </row>
    <row r="45" spans="1:7" s="52" customFormat="1" x14ac:dyDescent="0.3">
      <c r="A45" s="54"/>
      <c r="B45" s="54"/>
      <c r="C45" s="155" t="str">
        <f t="shared" si="3"/>
        <v/>
      </c>
      <c r="D45" s="55"/>
      <c r="E45" s="200"/>
      <c r="F45" s="201"/>
      <c r="G45" s="51"/>
    </row>
    <row r="46" spans="1:7" s="52" customFormat="1" x14ac:dyDescent="0.3">
      <c r="A46" s="54"/>
      <c r="B46" s="54"/>
      <c r="C46" s="155" t="str">
        <f t="shared" si="3"/>
        <v/>
      </c>
      <c r="D46" s="55"/>
      <c r="E46" s="200"/>
      <c r="F46" s="201"/>
      <c r="G46" s="51"/>
    </row>
    <row r="47" spans="1:7" s="52" customFormat="1" ht="15" thickBot="1" x14ac:dyDescent="0.35">
      <c r="A47" s="56"/>
      <c r="B47" s="56"/>
      <c r="C47" s="156" t="str">
        <f t="shared" si="3"/>
        <v/>
      </c>
      <c r="D47" s="57"/>
      <c r="E47" s="202"/>
      <c r="F47" s="203"/>
      <c r="G47" s="51"/>
    </row>
    <row r="48" spans="1:7" s="52" customFormat="1" ht="15" thickBot="1" x14ac:dyDescent="0.35">
      <c r="A48" s="111" t="s">
        <v>31</v>
      </c>
      <c r="B48" s="84">
        <f>SUM(B40:B47)</f>
        <v>0</v>
      </c>
      <c r="C48" s="111" t="str">
        <f xml:space="preserve"> setValueToTime(B48)</f>
        <v>0h</v>
      </c>
      <c r="D48" s="120"/>
      <c r="E48" s="204"/>
      <c r="F48" s="205"/>
      <c r="G48" s="51"/>
    </row>
    <row r="49" spans="1:7" s="59" customFormat="1" x14ac:dyDescent="0.3">
      <c r="A49" s="79"/>
      <c r="B49" s="79"/>
      <c r="C49" s="79"/>
      <c r="D49" s="79"/>
      <c r="E49" s="79"/>
      <c r="F49" s="79"/>
      <c r="G49" s="58"/>
    </row>
  </sheetData>
  <sheetProtection formatRows="0" insertRows="0" insertHyperlinks="0" deleteRows="0" selectLockedCells="1"/>
  <mergeCells count="4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2:F22"/>
    <mergeCell ref="E23:F23"/>
    <mergeCell ref="E24:F24"/>
    <mergeCell ref="E21:F21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9:F39"/>
    <mergeCell ref="E40:F40"/>
    <mergeCell ref="E41:F41"/>
    <mergeCell ref="E42:F42"/>
    <mergeCell ref="E43:F43"/>
    <mergeCell ref="E44:F44"/>
  </mergeCells>
  <phoneticPr fontId="0" type="noConversion"/>
  <conditionalFormatting sqref="B48">
    <cfRule type="cellIs" dxfId="9" priority="4" operator="greaterThan">
      <formula>60</formula>
    </cfRule>
  </conditionalFormatting>
  <conditionalFormatting sqref="B36">
    <cfRule type="cellIs" dxfId="8" priority="3" operator="greaterThan">
      <formula>60</formula>
    </cfRule>
  </conditionalFormatting>
  <conditionalFormatting sqref="B24">
    <cfRule type="cellIs" dxfId="7" priority="2" operator="greaterThan">
      <formula>60</formula>
    </cfRule>
  </conditionalFormatting>
  <conditionalFormatting sqref="B12">
    <cfRule type="cellIs" dxfId="6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48 B36 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0:B47 B28:B35 B16:B23 B4:B11">
      <formula1>0</formula1>
    </dataValidation>
    <dataValidation type="list" allowBlank="1" showInputMessage="1" showErrorMessage="1" sqref="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49"/>
  <sheetViews>
    <sheetView showGridLines="0" zoomScale="130" zoomScaleNormal="130" zoomScaleSheetLayoutView="98" workbookViewId="0">
      <pane ySplit="1" topLeftCell="A2" activePane="bottomLeft" state="frozen"/>
      <selection pane="bottomLeft" activeCell="E31" sqref="E31:F31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14</v>
      </c>
      <c r="B2" s="165">
        <v>4</v>
      </c>
      <c r="C2" s="165"/>
      <c r="D2" s="158" t="s">
        <v>17</v>
      </c>
      <c r="E2" s="159">
        <v>44246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44</v>
      </c>
      <c r="C3" s="161"/>
      <c r="D3" s="78" t="s">
        <v>15</v>
      </c>
      <c r="E3" s="212" t="s">
        <v>16</v>
      </c>
      <c r="F3" s="213"/>
      <c r="G3" s="46"/>
    </row>
    <row r="4" spans="1:7" s="52" customFormat="1" x14ac:dyDescent="0.3">
      <c r="A4" s="48"/>
      <c r="B4" s="49"/>
      <c r="C4" s="153" t="str">
        <f xml:space="preserve"> IF(B4="","",setValueToTime(B4))</f>
        <v/>
      </c>
      <c r="D4" s="50"/>
      <c r="E4" s="208"/>
      <c r="F4" s="209"/>
      <c r="G4" s="51"/>
    </row>
    <row r="5" spans="1:7" s="52" customFormat="1" x14ac:dyDescent="0.3">
      <c r="A5" s="53"/>
      <c r="B5" s="54"/>
      <c r="C5" s="154" t="str">
        <f t="shared" ref="C5:C11" si="0" xml:space="preserve"> IF(B5="","",setValueToTime(B5))</f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0"/>
      <c r="F10" s="201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2"/>
      <c r="F11" s="203"/>
      <c r="G11" s="51"/>
    </row>
    <row r="12" spans="1:7" s="52" customFormat="1" ht="15" thickBot="1" x14ac:dyDescent="0.35">
      <c r="A12" s="163" t="s">
        <v>31</v>
      </c>
      <c r="B12" s="83">
        <f>SUM(B4:B11)</f>
        <v>0</v>
      </c>
      <c r="C12" s="163" t="str">
        <f xml:space="preserve"> setValueToTime(B12)</f>
        <v>0h</v>
      </c>
      <c r="D12" s="121"/>
      <c r="E12" s="210"/>
      <c r="F12" s="211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14</v>
      </c>
      <c r="B14" s="165">
        <v>3</v>
      </c>
      <c r="C14" s="165"/>
      <c r="D14" s="158" t="s">
        <v>17</v>
      </c>
      <c r="E14" s="159">
        <v>44239</v>
      </c>
      <c r="F14" s="160"/>
      <c r="G14" s="46"/>
    </row>
    <row r="15" spans="1:7" s="47" customFormat="1" ht="30" customHeight="1" thickBot="1" x14ac:dyDescent="0.3">
      <c r="A15" s="78" t="s">
        <v>5</v>
      </c>
      <c r="B15" s="162" t="s">
        <v>44</v>
      </c>
      <c r="C15" s="161"/>
      <c r="D15" s="78" t="s">
        <v>15</v>
      </c>
      <c r="E15" s="212" t="s">
        <v>16</v>
      </c>
      <c r="F15" s="213"/>
      <c r="G15" s="46"/>
    </row>
    <row r="16" spans="1:7" s="52" customFormat="1" x14ac:dyDescent="0.3">
      <c r="A16" s="48"/>
      <c r="B16" s="49"/>
      <c r="C16" s="153" t="str">
        <f xml:space="preserve"> IF(B16="","",setValueToTime(B16))</f>
        <v/>
      </c>
      <c r="D16" s="50"/>
      <c r="E16" s="208"/>
      <c r="F16" s="209"/>
      <c r="G16" s="51"/>
    </row>
    <row r="17" spans="1:7" s="52" customFormat="1" x14ac:dyDescent="0.3">
      <c r="A17" s="53"/>
      <c r="B17" s="54"/>
      <c r="C17" s="154" t="str">
        <f t="shared" ref="C17:C23" si="1" xml:space="preserve"> IF(B17="","",setValueToTime(B17))</f>
        <v/>
      </c>
      <c r="D17" s="55"/>
      <c r="E17" s="200"/>
      <c r="F17" s="201"/>
      <c r="G17" s="51"/>
    </row>
    <row r="18" spans="1:7" s="52" customFormat="1" x14ac:dyDescent="0.3">
      <c r="A18" s="53"/>
      <c r="B18" s="54"/>
      <c r="C18" s="154" t="str">
        <f t="shared" si="1"/>
        <v/>
      </c>
      <c r="D18" s="55"/>
      <c r="E18" s="200"/>
      <c r="F18" s="201"/>
      <c r="G18" s="51"/>
    </row>
    <row r="19" spans="1:7" s="52" customFormat="1" x14ac:dyDescent="0.3">
      <c r="A19" s="53"/>
      <c r="B19" s="54"/>
      <c r="C19" s="154" t="str">
        <f t="shared" si="1"/>
        <v/>
      </c>
      <c r="D19" s="55"/>
      <c r="E19" s="200"/>
      <c r="F19" s="201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0"/>
      <c r="F20" s="201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0"/>
      <c r="F21" s="201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0"/>
      <c r="F22" s="201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2"/>
      <c r="F23" s="203"/>
      <c r="G23" s="51"/>
    </row>
    <row r="24" spans="1:7" s="52" customFormat="1" ht="15" thickBot="1" x14ac:dyDescent="0.35">
      <c r="A24" s="163" t="s">
        <v>31</v>
      </c>
      <c r="B24" s="83">
        <f>SUM(B16:B23)</f>
        <v>0</v>
      </c>
      <c r="C24" s="163" t="str">
        <f xml:space="preserve"> setValueToTime(B24)</f>
        <v>0h</v>
      </c>
      <c r="D24" s="121"/>
      <c r="E24" s="210"/>
      <c r="F24" s="211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7" t="s">
        <v>14</v>
      </c>
      <c r="B26" s="165">
        <v>2</v>
      </c>
      <c r="C26" s="165"/>
      <c r="D26" s="158" t="s">
        <v>17</v>
      </c>
      <c r="E26" s="159">
        <v>44232</v>
      </c>
      <c r="F26" s="160"/>
      <c r="G26" s="46"/>
    </row>
    <row r="27" spans="1:7" s="47" customFormat="1" ht="30" customHeight="1" thickBot="1" x14ac:dyDescent="0.3">
      <c r="A27" s="78" t="s">
        <v>5</v>
      </c>
      <c r="B27" s="162" t="s">
        <v>44</v>
      </c>
      <c r="C27" s="161"/>
      <c r="D27" s="78" t="s">
        <v>15</v>
      </c>
      <c r="E27" s="212" t="s">
        <v>16</v>
      </c>
      <c r="F27" s="213"/>
      <c r="G27" s="46"/>
    </row>
    <row r="28" spans="1:7" s="52" customFormat="1" x14ac:dyDescent="0.3">
      <c r="A28" s="48"/>
      <c r="B28" s="49"/>
      <c r="C28" s="153" t="str">
        <f xml:space="preserve"> IF(B28="","",setValueToTime(B28))</f>
        <v/>
      </c>
      <c r="D28" s="50"/>
      <c r="E28" s="208"/>
      <c r="F28" s="209"/>
      <c r="G28" s="51"/>
    </row>
    <row r="29" spans="1:7" s="52" customFormat="1" x14ac:dyDescent="0.3">
      <c r="A29" s="53"/>
      <c r="B29" s="54"/>
      <c r="C29" s="154" t="str">
        <f t="shared" ref="C29:C35" si="2" xml:space="preserve"> IF(B29="","",setValueToTime(B29))</f>
        <v/>
      </c>
      <c r="D29" s="55"/>
      <c r="E29" s="200"/>
      <c r="F29" s="201"/>
      <c r="G29" s="51"/>
    </row>
    <row r="30" spans="1:7" s="52" customFormat="1" x14ac:dyDescent="0.3">
      <c r="A30" s="53"/>
      <c r="B30" s="54"/>
      <c r="C30" s="154" t="str">
        <f t="shared" si="2"/>
        <v/>
      </c>
      <c r="D30" s="55"/>
      <c r="E30" s="200"/>
      <c r="F30" s="201"/>
      <c r="G30" s="51"/>
    </row>
    <row r="31" spans="1:7" s="52" customFormat="1" x14ac:dyDescent="0.3">
      <c r="A31" s="53"/>
      <c r="B31" s="54"/>
      <c r="C31" s="154" t="str">
        <f t="shared" si="2"/>
        <v/>
      </c>
      <c r="D31" s="55"/>
      <c r="E31" s="200"/>
      <c r="F31" s="201"/>
      <c r="G31" s="51"/>
    </row>
    <row r="32" spans="1:7" s="52" customFormat="1" x14ac:dyDescent="0.3">
      <c r="A32" s="54"/>
      <c r="B32" s="54"/>
      <c r="C32" s="155" t="str">
        <f t="shared" si="2"/>
        <v/>
      </c>
      <c r="D32" s="55"/>
      <c r="E32" s="200"/>
      <c r="F32" s="201"/>
      <c r="G32" s="51"/>
    </row>
    <row r="33" spans="1:7" s="52" customFormat="1" x14ac:dyDescent="0.3">
      <c r="A33" s="54"/>
      <c r="B33" s="54"/>
      <c r="C33" s="155" t="str">
        <f t="shared" si="2"/>
        <v/>
      </c>
      <c r="D33" s="55"/>
      <c r="E33" s="200"/>
      <c r="F33" s="201"/>
      <c r="G33" s="51"/>
    </row>
    <row r="34" spans="1:7" s="52" customFormat="1" x14ac:dyDescent="0.3">
      <c r="A34" s="54"/>
      <c r="B34" s="54"/>
      <c r="C34" s="155" t="str">
        <f t="shared" si="2"/>
        <v/>
      </c>
      <c r="D34" s="55"/>
      <c r="E34" s="200"/>
      <c r="F34" s="201"/>
      <c r="G34" s="51"/>
    </row>
    <row r="35" spans="1:7" s="52" customFormat="1" ht="15" thickBot="1" x14ac:dyDescent="0.35">
      <c r="A35" s="56"/>
      <c r="B35" s="56"/>
      <c r="C35" s="156" t="str">
        <f t="shared" si="2"/>
        <v/>
      </c>
      <c r="D35" s="57"/>
      <c r="E35" s="202"/>
      <c r="F35" s="203"/>
      <c r="G35" s="51"/>
    </row>
    <row r="36" spans="1:7" s="52" customFormat="1" ht="15" thickBot="1" x14ac:dyDescent="0.35">
      <c r="A36" s="163" t="s">
        <v>31</v>
      </c>
      <c r="B36" s="83">
        <f>SUM(B28:B35)</f>
        <v>0</v>
      </c>
      <c r="C36" s="163" t="str">
        <f xml:space="preserve"> setValueToTime(B36)</f>
        <v>0h</v>
      </c>
      <c r="D36" s="121"/>
      <c r="E36" s="210"/>
      <c r="F36" s="211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7" t="s">
        <v>14</v>
      </c>
      <c r="B38" s="165">
        <v>1</v>
      </c>
      <c r="C38" s="165"/>
      <c r="D38" s="158" t="s">
        <v>17</v>
      </c>
      <c r="E38" s="159">
        <v>44225</v>
      </c>
      <c r="F38" s="160"/>
      <c r="G38" s="46"/>
    </row>
    <row r="39" spans="1:7" s="47" customFormat="1" ht="30" customHeight="1" thickBot="1" x14ac:dyDescent="0.3">
      <c r="A39" s="78" t="s">
        <v>5</v>
      </c>
      <c r="B39" s="162" t="s">
        <v>44</v>
      </c>
      <c r="C39" s="161"/>
      <c r="D39" s="78" t="s">
        <v>15</v>
      </c>
      <c r="E39" s="212" t="s">
        <v>16</v>
      </c>
      <c r="F39" s="213"/>
      <c r="G39" s="46"/>
    </row>
    <row r="40" spans="1:7" s="52" customFormat="1" x14ac:dyDescent="0.3">
      <c r="A40" s="48"/>
      <c r="B40" s="49"/>
      <c r="C40" s="153" t="str">
        <f xml:space="preserve"> IF(B40="","",setValueToTime(B40))</f>
        <v/>
      </c>
      <c r="D40" s="50"/>
      <c r="E40" s="208"/>
      <c r="F40" s="209"/>
      <c r="G40" s="51"/>
    </row>
    <row r="41" spans="1:7" s="52" customFormat="1" x14ac:dyDescent="0.3">
      <c r="A41" s="53"/>
      <c r="B41" s="54"/>
      <c r="C41" s="154" t="str">
        <f t="shared" ref="C41:C47" si="3" xml:space="preserve"> IF(B41="","",setValueToTime(B41))</f>
        <v/>
      </c>
      <c r="D41" s="55"/>
      <c r="E41" s="200"/>
      <c r="F41" s="201"/>
      <c r="G41" s="51"/>
    </row>
    <row r="42" spans="1:7" s="52" customFormat="1" x14ac:dyDescent="0.3">
      <c r="A42" s="53"/>
      <c r="B42" s="54"/>
      <c r="C42" s="154" t="str">
        <f t="shared" si="3"/>
        <v/>
      </c>
      <c r="D42" s="55"/>
      <c r="E42" s="200"/>
      <c r="F42" s="201"/>
      <c r="G42" s="51"/>
    </row>
    <row r="43" spans="1:7" s="52" customFormat="1" x14ac:dyDescent="0.3">
      <c r="A43" s="53"/>
      <c r="B43" s="54"/>
      <c r="C43" s="154" t="str">
        <f t="shared" si="3"/>
        <v/>
      </c>
      <c r="D43" s="55"/>
      <c r="E43" s="200"/>
      <c r="F43" s="201"/>
      <c r="G43" s="51"/>
    </row>
    <row r="44" spans="1:7" s="52" customFormat="1" x14ac:dyDescent="0.3">
      <c r="A44" s="54"/>
      <c r="B44" s="54"/>
      <c r="C44" s="155" t="str">
        <f t="shared" si="3"/>
        <v/>
      </c>
      <c r="D44" s="55"/>
      <c r="E44" s="200"/>
      <c r="F44" s="201"/>
      <c r="G44" s="51"/>
    </row>
    <row r="45" spans="1:7" s="52" customFormat="1" x14ac:dyDescent="0.3">
      <c r="A45" s="54"/>
      <c r="B45" s="54"/>
      <c r="C45" s="155" t="str">
        <f t="shared" si="3"/>
        <v/>
      </c>
      <c r="D45" s="55"/>
      <c r="E45" s="200"/>
      <c r="F45" s="201"/>
      <c r="G45" s="51"/>
    </row>
    <row r="46" spans="1:7" s="52" customFormat="1" x14ac:dyDescent="0.3">
      <c r="A46" s="54"/>
      <c r="B46" s="54"/>
      <c r="C46" s="155" t="str">
        <f t="shared" si="3"/>
        <v/>
      </c>
      <c r="D46" s="55"/>
      <c r="E46" s="200"/>
      <c r="F46" s="201"/>
      <c r="G46" s="51"/>
    </row>
    <row r="47" spans="1:7" s="52" customFormat="1" ht="15" thickBot="1" x14ac:dyDescent="0.35">
      <c r="A47" s="56"/>
      <c r="B47" s="56"/>
      <c r="C47" s="156" t="str">
        <f t="shared" si="3"/>
        <v/>
      </c>
      <c r="D47" s="57"/>
      <c r="E47" s="202"/>
      <c r="F47" s="203"/>
      <c r="G47" s="51"/>
    </row>
    <row r="48" spans="1:7" s="52" customFormat="1" ht="15" thickBot="1" x14ac:dyDescent="0.35">
      <c r="A48" s="163" t="s">
        <v>31</v>
      </c>
      <c r="B48" s="83">
        <f>SUM(B40:B47)</f>
        <v>0</v>
      </c>
      <c r="C48" s="163" t="str">
        <f xml:space="preserve"> setValueToTime(B48)</f>
        <v>0h</v>
      </c>
      <c r="D48" s="121"/>
      <c r="E48" s="210"/>
      <c r="F48" s="211"/>
      <c r="G48" s="51"/>
    </row>
    <row r="49" spans="1:7" s="59" customFormat="1" x14ac:dyDescent="0.3">
      <c r="A49" s="77"/>
      <c r="B49" s="77"/>
      <c r="C49" s="77"/>
      <c r="D49" s="77"/>
      <c r="E49" s="77"/>
      <c r="F49" s="77"/>
      <c r="G49" s="58"/>
    </row>
  </sheetData>
  <sheetProtection formatRows="0" insertRows="0" insertHyperlinks="0" deleteRows="0" selectLockedCells="1"/>
  <mergeCells count="4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2:F22"/>
    <mergeCell ref="E23:F23"/>
    <mergeCell ref="E24:F24"/>
    <mergeCell ref="E21:F21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9:F39"/>
    <mergeCell ref="E40:F40"/>
    <mergeCell ref="E41:F41"/>
    <mergeCell ref="E42:F42"/>
    <mergeCell ref="E43:F43"/>
    <mergeCell ref="E44:F44"/>
  </mergeCells>
  <phoneticPr fontId="0" type="noConversion"/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48 B36 B24 B12">
      <formula1>0</formula1>
      <formula2>60</formula2>
    </dataValidation>
    <dataValidation type="list" allowBlank="1" showInputMessage="1" showErrorMessage="1" sqref="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3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90"/>
    </row>
    <row r="11" spans="1:61" ht="18" x14ac:dyDescent="0.25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90"/>
    </row>
    <row r="12" spans="1:61" ht="18.75" thickBot="1" x14ac:dyDescent="0.3">
      <c r="A12" s="186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90"/>
    </row>
    <row r="13" spans="1:61" ht="18.75" thickBot="1" x14ac:dyDescent="0.3">
      <c r="A13" s="187" t="s">
        <v>14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9"/>
      <c r="BI13" s="90"/>
    </row>
    <row r="14" spans="1:61" ht="15.75" thickBot="1" x14ac:dyDescent="0.35">
      <c r="A14" s="103"/>
      <c r="B14" s="104"/>
      <c r="C14" s="104"/>
      <c r="D14" s="104"/>
      <c r="E14" s="190" t="s">
        <v>38</v>
      </c>
      <c r="F14" s="190"/>
      <c r="G14" s="190"/>
      <c r="H14" s="190"/>
      <c r="I14" s="104"/>
      <c r="J14" s="104"/>
      <c r="K14" s="191" t="s">
        <v>26</v>
      </c>
      <c r="L14" s="191"/>
      <c r="M14" s="191"/>
      <c r="N14" s="191"/>
      <c r="O14" s="129"/>
      <c r="P14" s="129"/>
      <c r="Q14" s="190" t="s">
        <v>39</v>
      </c>
      <c r="R14" s="190"/>
      <c r="S14" s="190"/>
      <c r="T14" s="190"/>
      <c r="U14" s="104"/>
      <c r="V14" s="104"/>
      <c r="W14" s="191" t="s">
        <v>27</v>
      </c>
      <c r="X14" s="191"/>
      <c r="Y14" s="191"/>
      <c r="Z14" s="191"/>
      <c r="AA14" s="129"/>
      <c r="AB14" s="129"/>
      <c r="AC14" s="190" t="s">
        <v>40</v>
      </c>
      <c r="AD14" s="190"/>
      <c r="AE14" s="190"/>
      <c r="AF14" s="190"/>
      <c r="AG14" s="104"/>
      <c r="AH14" s="104"/>
      <c r="AI14" s="191" t="s">
        <v>28</v>
      </c>
      <c r="AJ14" s="191"/>
      <c r="AK14" s="191"/>
      <c r="AL14" s="191"/>
      <c r="AM14" s="129"/>
      <c r="AN14" s="129"/>
      <c r="AO14" s="190" t="s">
        <v>41</v>
      </c>
      <c r="AP14" s="190"/>
      <c r="AQ14" s="190"/>
      <c r="AR14" s="190"/>
      <c r="AS14" s="104"/>
      <c r="AT14" s="104"/>
      <c r="AU14" s="191" t="s">
        <v>29</v>
      </c>
      <c r="AV14" s="191"/>
      <c r="AW14" s="191"/>
      <c r="AX14" s="191"/>
      <c r="AY14" s="129"/>
      <c r="AZ14" s="129"/>
      <c r="BA14" s="190" t="s">
        <v>42</v>
      </c>
      <c r="BB14" s="190"/>
      <c r="BC14" s="190"/>
      <c r="BD14" s="190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14</v>
      </c>
      <c r="B1" s="164">
        <v>1</v>
      </c>
      <c r="C1" s="164"/>
      <c r="D1" s="82" t="s">
        <v>17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44</v>
      </c>
      <c r="C2" s="152"/>
      <c r="D2" s="80" t="s">
        <v>15</v>
      </c>
      <c r="E2" s="206" t="s">
        <v>16</v>
      </c>
      <c r="F2" s="207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11" t="s">
        <v>31</v>
      </c>
      <c r="B11" s="84">
        <f>SUM(B3:B10)</f>
        <v>0</v>
      </c>
      <c r="C11" s="111" t="str">
        <f xml:space="preserve"> setValueToTime(B11)</f>
        <v>0h</v>
      </c>
      <c r="D11" s="120"/>
      <c r="E11" s="204"/>
      <c r="F11" s="20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14</v>
      </c>
      <c r="B1" s="165">
        <v>1</v>
      </c>
      <c r="C1" s="165"/>
      <c r="D1" s="158" t="s">
        <v>17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44</v>
      </c>
      <c r="C2" s="161"/>
      <c r="D2" s="78" t="s">
        <v>15</v>
      </c>
      <c r="E2" s="212" t="s">
        <v>16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63" t="s">
        <v>31</v>
      </c>
      <c r="B11" s="83">
        <f>SUM(B3:B10)</f>
        <v>0</v>
      </c>
      <c r="C11" s="163" t="str">
        <f xml:space="preserve"> setValueToTime(B11)</f>
        <v>0h</v>
      </c>
      <c r="D11" s="121"/>
      <c r="E11" s="210"/>
      <c r="F11" s="21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Larissa Debarros</dc:creator>
  <cp:lastModifiedBy>Larissa Debarros</cp:lastModifiedBy>
  <cp:lastPrinted>2019-05-08T10:31:53Z</cp:lastPrinted>
  <dcterms:created xsi:type="dcterms:W3CDTF">1996-10-21T11:03:58Z</dcterms:created>
  <dcterms:modified xsi:type="dcterms:W3CDTF">2021-02-19T13:05:43Z</dcterms:modified>
</cp:coreProperties>
</file>